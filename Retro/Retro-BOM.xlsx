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NAS\Data\Workfiles\BMD\Projects\Atari\Breakout\github\Retro\"/>
    </mc:Choice>
  </mc:AlternateContent>
  <xr:revisionPtr revIDLastSave="0" documentId="13_ncr:1_{24F04D2A-8A5D-4ED9-B3CC-34F3A716FBCF}" xr6:coauthVersionLast="47" xr6:coauthVersionMax="47" xr10:uidLastSave="{00000000-0000-0000-0000-000000000000}"/>
  <bookViews>
    <workbookView xWindow="28680" yWindow="-120" windowWidth="29040" windowHeight="15720" xr2:uid="{88885ED0-DCBD-4D32-912E-6D1BE46CB9BC}"/>
  </bookViews>
  <sheets>
    <sheet name="BOM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93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94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95" i="3"/>
  <c r="J79" i="3"/>
  <c r="J80" i="3"/>
  <c r="J81" i="3"/>
  <c r="J85" i="3"/>
  <c r="J86" i="3"/>
  <c r="J87" i="3"/>
  <c r="J88" i="3"/>
  <c r="J2" i="3"/>
  <c r="J89" i="3" l="1"/>
</calcChain>
</file>

<file path=xl/sharedStrings.xml><?xml version="1.0" encoding="utf-8"?>
<sst xmlns="http://schemas.openxmlformats.org/spreadsheetml/2006/main" count="502" uniqueCount="252">
  <si>
    <t>Value</t>
  </si>
  <si>
    <t>Qty</t>
  </si>
  <si>
    <t>0.001uF</t>
  </si>
  <si>
    <t>330pF</t>
  </si>
  <si>
    <t>0.01uF</t>
  </si>
  <si>
    <t>1N914</t>
  </si>
  <si>
    <t>RGBPLD</t>
  </si>
  <si>
    <t>LM380N</t>
  </si>
  <si>
    <t>4700uF</t>
  </si>
  <si>
    <t>100pF</t>
  </si>
  <si>
    <t>1uF</t>
  </si>
  <si>
    <t>0.1uF</t>
  </si>
  <si>
    <t>10uF</t>
  </si>
  <si>
    <t>470uF</t>
  </si>
  <si>
    <t>100uF</t>
  </si>
  <si>
    <t>1N5400</t>
  </si>
  <si>
    <t>1N4001</t>
  </si>
  <si>
    <t>7448PLD</t>
  </si>
  <si>
    <t>82S16</t>
  </si>
  <si>
    <t>2N4403</t>
  </si>
  <si>
    <t>2N4401</t>
  </si>
  <si>
    <t>MCR106</t>
  </si>
  <si>
    <t>2N5190</t>
  </si>
  <si>
    <t>2N2222</t>
  </si>
  <si>
    <t>10K</t>
  </si>
  <si>
    <t>PSU5a</t>
  </si>
  <si>
    <t>14.318MHz</t>
  </si>
  <si>
    <t>Type</t>
  </si>
  <si>
    <t>Part</t>
  </si>
  <si>
    <t>Mfg</t>
  </si>
  <si>
    <t>DigiKey Part</t>
  </si>
  <si>
    <t>C</t>
  </si>
  <si>
    <t>Package</t>
  </si>
  <si>
    <t>2.1x5.5mm</t>
  </si>
  <si>
    <t>Barrel Jack</t>
  </si>
  <si>
    <t>Axial</t>
  </si>
  <si>
    <t>RCA</t>
  </si>
  <si>
    <t>Red</t>
  </si>
  <si>
    <t>Yellow</t>
  </si>
  <si>
    <t>Radial 0.1in-R0.2in</t>
  </si>
  <si>
    <t>Radial 0.2in-R0.4in</t>
  </si>
  <si>
    <t>Radial 10mm-R35mm</t>
  </si>
  <si>
    <t>Axial 0.3in</t>
  </si>
  <si>
    <t>C+</t>
  </si>
  <si>
    <t>Crystal 0.2in</t>
  </si>
  <si>
    <t>XTAL</t>
  </si>
  <si>
    <t>DIP-14</t>
  </si>
  <si>
    <t>DIP-16</t>
  </si>
  <si>
    <t>DIP-20</t>
  </si>
  <si>
    <t>IC&gt;Analog</t>
  </si>
  <si>
    <t>IC&gt;PLD</t>
  </si>
  <si>
    <t>DIP-8</t>
  </si>
  <si>
    <t>Axial 0.6in</t>
  </si>
  <si>
    <t>1x12 Header</t>
  </si>
  <si>
    <t>1x25 Header</t>
  </si>
  <si>
    <t>1x3 Header</t>
  </si>
  <si>
    <t>1x2 Header</t>
  </si>
  <si>
    <t>1x8 Header</t>
  </si>
  <si>
    <t>0.1"</t>
  </si>
  <si>
    <t>2x3 Header</t>
  </si>
  <si>
    <t>2x6 Header</t>
  </si>
  <si>
    <t>D&gt;Power</t>
  </si>
  <si>
    <t>Conn&gt;Header</t>
  </si>
  <si>
    <t>Conn&gt;Jack</t>
  </si>
  <si>
    <t>Conn&gt;RCA</t>
  </si>
  <si>
    <t>D&gt;Switching</t>
  </si>
  <si>
    <t>IC&gt;TTL</t>
  </si>
  <si>
    <t>5.0mm</t>
  </si>
  <si>
    <t>D&gt;LED</t>
  </si>
  <si>
    <t>Red LED</t>
  </si>
  <si>
    <t>Green LED</t>
  </si>
  <si>
    <t>R</t>
  </si>
  <si>
    <t>47ohm@1/8w</t>
  </si>
  <si>
    <t>100ohm@1/8w</t>
  </si>
  <si>
    <t>150ohm@1/8w</t>
  </si>
  <si>
    <t>220ohm@1/8w</t>
  </si>
  <si>
    <t>330ohm@1/8w</t>
  </si>
  <si>
    <t>470ohm@1/8w</t>
  </si>
  <si>
    <t>560ohm@1/8w</t>
  </si>
  <si>
    <t>1.8M@1/8w</t>
  </si>
  <si>
    <t>12K@1/8w</t>
  </si>
  <si>
    <t>22K@1/8w</t>
  </si>
  <si>
    <t>27K@1/8w</t>
  </si>
  <si>
    <t>3.9K@1/8w</t>
  </si>
  <si>
    <t>33K@1/8w</t>
  </si>
  <si>
    <t>4.7K@1/8w</t>
  </si>
  <si>
    <t>47K@1/8w</t>
  </si>
  <si>
    <t>5.6K@1/8w</t>
  </si>
  <si>
    <t>68K@1/8w</t>
  </si>
  <si>
    <t>2.7Ω@1/4w</t>
  </si>
  <si>
    <t>9mm</t>
  </si>
  <si>
    <t>R&gt;POT</t>
  </si>
  <si>
    <t>Bourns</t>
  </si>
  <si>
    <t>Quad Dip SW</t>
  </si>
  <si>
    <t>SW&gt;DIP</t>
  </si>
  <si>
    <t>SW&gt;Push</t>
  </si>
  <si>
    <t>TACT</t>
  </si>
  <si>
    <t>6mm</t>
  </si>
  <si>
    <t>TO-126-3</t>
  </si>
  <si>
    <t>TO-220-3</t>
  </si>
  <si>
    <t>TO-225AA-3</t>
  </si>
  <si>
    <t>TO-92</t>
  </si>
  <si>
    <t>Q&gt;NPN</t>
  </si>
  <si>
    <t>Q&gt;PNP</t>
  </si>
  <si>
    <t>SCR</t>
  </si>
  <si>
    <t>REG</t>
  </si>
  <si>
    <t>Notes</t>
  </si>
  <si>
    <t>w/RGB Only</t>
  </si>
  <si>
    <t>Optional</t>
  </si>
  <si>
    <t>Depends on Power Config</t>
  </si>
  <si>
    <t>If using AMP</t>
  </si>
  <si>
    <t>Optional Replacement for 7448</t>
  </si>
  <si>
    <t>Required for in-cabinet use</t>
  </si>
  <si>
    <t>Sub</t>
  </si>
  <si>
    <t>Socket</t>
  </si>
  <si>
    <t>If socketing</t>
  </si>
  <si>
    <t>If socketing and using PLD(s)</t>
  </si>
  <si>
    <t>EzSBC</t>
  </si>
  <si>
    <t>1-2199298-3</t>
  </si>
  <si>
    <t>TE Connectivity</t>
  </si>
  <si>
    <t>A120348-ND</t>
  </si>
  <si>
    <t>Diotec</t>
  </si>
  <si>
    <t>4878-1N5400TB-ND</t>
  </si>
  <si>
    <t>TI</t>
  </si>
  <si>
    <t>296-LM380N/NOPB-ND</t>
  </si>
  <si>
    <t>LM380N/NOPB</t>
  </si>
  <si>
    <t>Same Sky</t>
  </si>
  <si>
    <t>RCJ-042</t>
  </si>
  <si>
    <t>CP-1419-ND</t>
  </si>
  <si>
    <t>Each</t>
  </si>
  <si>
    <t>RCJ-044</t>
  </si>
  <si>
    <t>CP-1421-ND</t>
  </si>
  <si>
    <t>SN74LS74AN</t>
  </si>
  <si>
    <t>296-1668-5-ND</t>
  </si>
  <si>
    <t>PTV09A-2020F-A103</t>
  </si>
  <si>
    <t>PTV09A-2020F-A103-ND</t>
  </si>
  <si>
    <t>Nichicon</t>
  </si>
  <si>
    <t>LGU1V472MELA</t>
  </si>
  <si>
    <t>LGU1V472MELA-ND</t>
  </si>
  <si>
    <t>Kemet</t>
  </si>
  <si>
    <t>C412C104K5R5TA7200</t>
  </si>
  <si>
    <t>399-4484-1-ND</t>
  </si>
  <si>
    <t>SN74LS279AN</t>
  </si>
  <si>
    <t>296-3684-5-ND</t>
  </si>
  <si>
    <t>SN74LS00N</t>
  </si>
  <si>
    <t>296-1626-ND</t>
  </si>
  <si>
    <t>SN74LS04N</t>
  </si>
  <si>
    <t>296-1629-5-ND</t>
  </si>
  <si>
    <t>SN74LS08N</t>
  </si>
  <si>
    <t>296-1633-5-ND</t>
  </si>
  <si>
    <t>SN74LS10N</t>
  </si>
  <si>
    <t>296-1634-5-ND</t>
  </si>
  <si>
    <t>SN74LS27N</t>
  </si>
  <si>
    <t>SN74LS37N</t>
  </si>
  <si>
    <t>296-14890-5-ND</t>
  </si>
  <si>
    <t>SN74LS30N</t>
  </si>
  <si>
    <t>296-3693-5-ND</t>
  </si>
  <si>
    <t>SN74LS32N</t>
  </si>
  <si>
    <t>296-1658-5-ND</t>
  </si>
  <si>
    <t>SN74LS86AN</t>
  </si>
  <si>
    <t>296-1669-5-ND</t>
  </si>
  <si>
    <t>1-2199298-4</t>
  </si>
  <si>
    <t>A120349-ND</t>
  </si>
  <si>
    <t>1-2199298-2</t>
  </si>
  <si>
    <t>A120347-ND</t>
  </si>
  <si>
    <t>SN74LS283N</t>
  </si>
  <si>
    <t>296-33987-5-ND</t>
  </si>
  <si>
    <t>NE555P</t>
  </si>
  <si>
    <t>296-NE555P-ND</t>
  </si>
  <si>
    <t>SN74LS02N</t>
  </si>
  <si>
    <t>296-1627-5-ND</t>
  </si>
  <si>
    <t>SN74LS11N</t>
  </si>
  <si>
    <t>296-3638-ND</t>
  </si>
  <si>
    <t>SN74LS20N</t>
  </si>
  <si>
    <t>296-3670-5-ND</t>
  </si>
  <si>
    <t>296-26514-5-ND</t>
  </si>
  <si>
    <t>SN74LS107AN</t>
  </si>
  <si>
    <t>296-33952-5-ND</t>
  </si>
  <si>
    <t>SN74LS123N</t>
  </si>
  <si>
    <t>296-1636-5-ND</t>
  </si>
  <si>
    <t>SN74LS151N</t>
  </si>
  <si>
    <t>296-1644-5-ND</t>
  </si>
  <si>
    <t>SN74LS161AN</t>
  </si>
  <si>
    <t>296-1646-5-ND</t>
  </si>
  <si>
    <t>SN74LS175N</t>
  </si>
  <si>
    <t>296-1648-5-ND</t>
  </si>
  <si>
    <t>SN74LS193N</t>
  </si>
  <si>
    <t>296-1649-5-ND</t>
  </si>
  <si>
    <t>OnSemi</t>
  </si>
  <si>
    <t>4878-2N4401TB-ND</t>
  </si>
  <si>
    <t>4878-2N4403TB-ND</t>
  </si>
  <si>
    <t>2N5190G</t>
  </si>
  <si>
    <t>2N5190GOS-ND</t>
  </si>
  <si>
    <t>2N2222A</t>
  </si>
  <si>
    <t>5245-2N2222A-ND</t>
  </si>
  <si>
    <t>Secondary Market</t>
  </si>
  <si>
    <t>Secondary Market, Can use 74193</t>
  </si>
  <si>
    <t>Littlefuse</t>
  </si>
  <si>
    <t>MCR106-6G</t>
  </si>
  <si>
    <t>MCR106-6GOS-ND</t>
  </si>
  <si>
    <t>Microchip</t>
  </si>
  <si>
    <t>ATF16V8B-15PU</t>
  </si>
  <si>
    <t>CD4016BE</t>
  </si>
  <si>
    <t>296-2036-ND</t>
  </si>
  <si>
    <t>1825910-6</t>
  </si>
  <si>
    <t>450-1650-ND</t>
  </si>
  <si>
    <t>Abracon LLC</t>
  </si>
  <si>
    <t>ABL-14.31818MHZ-B2</t>
  </si>
  <si>
    <t>535-9039-ND</t>
  </si>
  <si>
    <t>DS01C-254-S-04BE</t>
  </si>
  <si>
    <t>2223-DS01C-254-S-04BE-ND</t>
  </si>
  <si>
    <t>1-2199298-6</t>
  </si>
  <si>
    <t>A120351-ND</t>
  </si>
  <si>
    <t>Vishay</t>
  </si>
  <si>
    <t>56-S102K43Y5PR6TK7RCT-ND</t>
  </si>
  <si>
    <t>ATF16V8B-15PU-ND</t>
  </si>
  <si>
    <t>Good-Ark</t>
  </si>
  <si>
    <t>4786-1N914CT-ND</t>
  </si>
  <si>
    <t>4878-1N4001CT-ND</t>
  </si>
  <si>
    <t>Tensility</t>
  </si>
  <si>
    <t>54-00131</t>
  </si>
  <si>
    <t>839-54-00131-ND</t>
  </si>
  <si>
    <t>Common</t>
  </si>
  <si>
    <t>UVR1C471MPD1TA</t>
  </si>
  <si>
    <t>493-UVR1C471MPD1TACT-ND</t>
  </si>
  <si>
    <t>UVZ1H101MPD1TA</t>
  </si>
  <si>
    <t>493-UVZ1H101MPD1TACT-ND</t>
  </si>
  <si>
    <t>ESS106M050AE2AA</t>
  </si>
  <si>
    <t>366-ESS106M050AE2AA-ND</t>
  </si>
  <si>
    <t>ESK105M050AC3AA</t>
  </si>
  <si>
    <t>399-6596-ND</t>
  </si>
  <si>
    <t>Secondary</t>
  </si>
  <si>
    <t>D103K43Y5PH63L2R-ND</t>
  </si>
  <si>
    <t>BC5216CT-ND</t>
  </si>
  <si>
    <t>BC1069CT-ND</t>
  </si>
  <si>
    <t>4700 µF 35 V Aluminum Electrolytic Capacitors Radial, Can - Snap-In 3000 Hrs @ 105°C</t>
  </si>
  <si>
    <t>470 µF 16 V Aluminum Electrolytic Capacitors Radial, Can 2000 Hrs @ 85°C</t>
  </si>
  <si>
    <t>1 µF 50 V Aluminum Electrolytic Capacitors Radial, Can 2000 Hrs @ 85°C</t>
  </si>
  <si>
    <t>10 µF 50 V Aluminum Electrolytic Capacitors Radial, Can 1000 Hrs @ 105°C</t>
  </si>
  <si>
    <t>100 µF 50 V Aluminum Electrolytic Capacitors Radial, Can 1000 Hrs @ 105°C</t>
  </si>
  <si>
    <t>0.1 µF ±10% 50V Ceramic Capacitor X7R Axial</t>
  </si>
  <si>
    <t>A101K15C0GF5UAA</t>
  </si>
  <si>
    <t>100 pF ±10% 50V Ceramic Capacitor C0G, NP0 Axial</t>
  </si>
  <si>
    <t>A331K15X7RF5UAAP</t>
  </si>
  <si>
    <t>330 pF ±10% 50V Ceramic Capacitor X7R Axial</t>
  </si>
  <si>
    <t>A102K15X7RF5UAA</t>
  </si>
  <si>
    <t>1000 pF ±10% 50V Ceramic Capacitor X7R Axial</t>
  </si>
  <si>
    <t>A103K15X7RF5TAA</t>
  </si>
  <si>
    <t>10000 pF ±10% 50V Ceramic Capacitor X7R Axial</t>
  </si>
  <si>
    <t>Description</t>
  </si>
  <si>
    <t>Sockets (if socketing):</t>
  </si>
  <si>
    <t>In-Cabinet Use: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</si>
</sst>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2">
    <xf numFmtId="0" fontId="0" fillId="0" borderId="0" xfId="0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44" fontId="3" fillId="0" borderId="0" xfId="1" applyFont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44" fontId="1" fillId="0" borderId="0" xfId="1" applyFont="1" applyAlignment="1">
      <alignment vertical="top"/>
    </xf>
    <xf numFmtId="0" fontId="1" fillId="0" borderId="0" xfId="0" applyFont="1" applyAlignment="1">
      <alignment horizontal="left" vertical="top" wrapText="1"/>
    </xf>
    <xf numFmtId="44" fontId="1" fillId="0" borderId="0" xfId="1" applyFont="1" applyAlignment="1">
      <alignment horizontal="left" vertical="top"/>
    </xf>
    <xf numFmtId="0" fontId="0" fillId="0" borderId="0" xfId="0" applyAlignment="1">
      <alignment vertical="top" wrapText="1"/>
    </xf>
    <xf numFmtId="44" fontId="0" fillId="0" borderId="0" xfId="1" applyFont="1" applyAlignment="1">
      <alignment vertical="top"/>
    </xf>
    <xf numFmtId="44" fontId="1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44" fontId="0" fillId="0" borderId="1" xfId="1" applyFont="1" applyBorder="1" applyAlignment="1">
      <alignment vertical="top"/>
    </xf>
    <xf numFmtId="44" fontId="0" fillId="0" borderId="1" xfId="0" applyNumberFormat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0" borderId="2" xfId="0" applyFont="1" applyBorder="1" applyAlignment="1">
      <alignment vertical="top" wrapText="1"/>
    </xf>
    <xf numFmtId="44" fontId="3" fillId="0" borderId="2" xfId="1" applyFont="1" applyBorder="1" applyAlignment="1">
      <alignment vertical="top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2F1B2-B132-429D-8F16-495BFBC4C6C4}">
  <dimension ref="A1:K95"/>
  <sheetViews>
    <sheetView tabSelected="1" workbookViewId="0">
      <pane ySplit="1" topLeftCell="A2" activePane="bottomLeft" state="frozen"/>
      <selection pane="bottomLeft" activeCell="A95" sqref="A95:XFD95"/>
    </sheetView>
  </sheetViews>
  <sheetFormatPr defaultRowHeight="14.25"/>
  <cols>
    <col min="1" max="1" width="3.875" style="4" bestFit="1" customWidth="1"/>
    <col min="2" max="2" width="12.25" style="4" bestFit="1" customWidth="1"/>
    <col min="3" max="3" width="15.25" style="4" bestFit="1" customWidth="1"/>
    <col min="4" max="4" width="19.25" style="4" bestFit="1" customWidth="1"/>
    <col min="5" max="5" width="13.75" style="4" bestFit="1" customWidth="1"/>
    <col min="6" max="6" width="20.75" style="4" bestFit="1" customWidth="1"/>
    <col min="7" max="7" width="20.75" style="11" customWidth="1"/>
    <col min="8" max="8" width="21.625" style="4" bestFit="1" customWidth="1"/>
    <col min="9" max="9" width="6.625" style="12" bestFit="1" customWidth="1"/>
    <col min="10" max="10" width="8.625" style="4" bestFit="1" customWidth="1"/>
    <col min="11" max="11" width="29.5" style="4" bestFit="1" customWidth="1"/>
    <col min="12" max="16384" width="9" style="4"/>
  </cols>
  <sheetData>
    <row r="1" spans="1:11" ht="15">
      <c r="A1" s="1" t="s">
        <v>1</v>
      </c>
      <c r="B1" s="1" t="s">
        <v>27</v>
      </c>
      <c r="C1" s="1" t="s">
        <v>0</v>
      </c>
      <c r="D1" s="1" t="s">
        <v>32</v>
      </c>
      <c r="E1" s="1" t="s">
        <v>29</v>
      </c>
      <c r="F1" s="1" t="s">
        <v>28</v>
      </c>
      <c r="G1" s="2" t="s">
        <v>249</v>
      </c>
      <c r="H1" s="1" t="s">
        <v>30</v>
      </c>
      <c r="I1" s="3" t="s">
        <v>129</v>
      </c>
      <c r="J1" s="1" t="s">
        <v>113</v>
      </c>
      <c r="K1" s="1" t="s">
        <v>106</v>
      </c>
    </row>
    <row r="2" spans="1:11" ht="42.75">
      <c r="A2" s="5">
        <v>3</v>
      </c>
      <c r="B2" s="6" t="s">
        <v>31</v>
      </c>
      <c r="C2" s="6" t="s">
        <v>2</v>
      </c>
      <c r="D2" s="6" t="s">
        <v>35</v>
      </c>
      <c r="E2" s="6" t="s">
        <v>213</v>
      </c>
      <c r="F2" s="5" t="s">
        <v>245</v>
      </c>
      <c r="G2" s="7" t="s">
        <v>246</v>
      </c>
      <c r="H2" s="5" t="s">
        <v>214</v>
      </c>
      <c r="I2" s="8">
        <v>0.45</v>
      </c>
      <c r="J2" s="13">
        <f>A2*I2</f>
        <v>1.35</v>
      </c>
    </row>
    <row r="3" spans="1:11" ht="42.75">
      <c r="A3" s="5">
        <v>3</v>
      </c>
      <c r="B3" s="6" t="s">
        <v>31</v>
      </c>
      <c r="C3" s="6" t="s">
        <v>4</v>
      </c>
      <c r="D3" s="6" t="s">
        <v>35</v>
      </c>
      <c r="E3" s="6" t="s">
        <v>213</v>
      </c>
      <c r="F3" s="5" t="s">
        <v>247</v>
      </c>
      <c r="G3" s="7" t="s">
        <v>248</v>
      </c>
      <c r="H3" s="6" t="s">
        <v>232</v>
      </c>
      <c r="I3" s="8">
        <v>0.41</v>
      </c>
      <c r="J3" s="13">
        <f t="shared" ref="J3:J64" si="0">A3*I3</f>
        <v>1.23</v>
      </c>
    </row>
    <row r="4" spans="1:11" ht="42.75">
      <c r="A4" s="5">
        <v>114</v>
      </c>
      <c r="B4" s="6" t="s">
        <v>31</v>
      </c>
      <c r="C4" s="6" t="s">
        <v>11</v>
      </c>
      <c r="D4" s="6" t="s">
        <v>35</v>
      </c>
      <c r="E4" s="6" t="s">
        <v>139</v>
      </c>
      <c r="F4" s="5" t="s">
        <v>140</v>
      </c>
      <c r="G4" s="7" t="s">
        <v>240</v>
      </c>
      <c r="H4" s="5" t="s">
        <v>141</v>
      </c>
      <c r="I4" s="8">
        <v>0.12</v>
      </c>
      <c r="J4" s="13">
        <f t="shared" si="0"/>
        <v>13.68</v>
      </c>
    </row>
    <row r="5" spans="1:11" ht="42.75">
      <c r="A5" s="5">
        <v>2</v>
      </c>
      <c r="B5" s="6" t="s">
        <v>31</v>
      </c>
      <c r="C5" s="6" t="s">
        <v>9</v>
      </c>
      <c r="D5" s="6" t="s">
        <v>35</v>
      </c>
      <c r="E5" s="6" t="s">
        <v>213</v>
      </c>
      <c r="F5" s="5" t="s">
        <v>241</v>
      </c>
      <c r="G5" s="7" t="s">
        <v>242</v>
      </c>
      <c r="H5" s="6" t="s">
        <v>233</v>
      </c>
      <c r="I5" s="8">
        <v>0.31</v>
      </c>
      <c r="J5" s="13">
        <f t="shared" si="0"/>
        <v>0.62</v>
      </c>
    </row>
    <row r="6" spans="1:11" ht="42.75">
      <c r="A6" s="5">
        <v>2</v>
      </c>
      <c r="B6" s="6" t="s">
        <v>31</v>
      </c>
      <c r="C6" s="6" t="s">
        <v>3</v>
      </c>
      <c r="D6" s="6" t="s">
        <v>35</v>
      </c>
      <c r="E6" s="6" t="s">
        <v>213</v>
      </c>
      <c r="F6" s="5" t="s">
        <v>243</v>
      </c>
      <c r="G6" s="7" t="s">
        <v>244</v>
      </c>
      <c r="H6" s="6" t="s">
        <v>234</v>
      </c>
      <c r="I6" s="8">
        <v>0.23</v>
      </c>
      <c r="J6" s="13">
        <f t="shared" si="0"/>
        <v>0.46</v>
      </c>
    </row>
    <row r="7" spans="1:11" ht="57">
      <c r="A7" s="5">
        <v>1</v>
      </c>
      <c r="B7" s="6" t="s">
        <v>43</v>
      </c>
      <c r="C7" s="6" t="s">
        <v>14</v>
      </c>
      <c r="D7" s="6" t="s">
        <v>40</v>
      </c>
      <c r="E7" s="6" t="s">
        <v>136</v>
      </c>
      <c r="F7" s="5" t="s">
        <v>225</v>
      </c>
      <c r="G7" s="7" t="s">
        <v>239</v>
      </c>
      <c r="H7" s="5" t="s">
        <v>226</v>
      </c>
      <c r="I7" s="8">
        <v>0.39</v>
      </c>
      <c r="J7" s="13">
        <f t="shared" si="0"/>
        <v>0.39</v>
      </c>
    </row>
    <row r="8" spans="1:11" ht="57">
      <c r="A8" s="5">
        <v>2</v>
      </c>
      <c r="B8" s="6" t="s">
        <v>43</v>
      </c>
      <c r="C8" s="6" t="s">
        <v>12</v>
      </c>
      <c r="D8" s="6" t="s">
        <v>39</v>
      </c>
      <c r="E8" s="6" t="s">
        <v>139</v>
      </c>
      <c r="F8" s="5" t="s">
        <v>227</v>
      </c>
      <c r="G8" s="7" t="s">
        <v>238</v>
      </c>
      <c r="H8" s="6" t="s">
        <v>228</v>
      </c>
      <c r="I8" s="8">
        <v>0.2</v>
      </c>
      <c r="J8" s="13">
        <f t="shared" si="0"/>
        <v>0.4</v>
      </c>
    </row>
    <row r="9" spans="1:11" ht="57">
      <c r="A9" s="5">
        <v>8</v>
      </c>
      <c r="B9" s="6" t="s">
        <v>43</v>
      </c>
      <c r="C9" s="6" t="s">
        <v>10</v>
      </c>
      <c r="D9" s="6" t="s">
        <v>39</v>
      </c>
      <c r="E9" s="6" t="s">
        <v>139</v>
      </c>
      <c r="F9" s="5" t="s">
        <v>229</v>
      </c>
      <c r="G9" s="7" t="s">
        <v>237</v>
      </c>
      <c r="H9" s="6" t="s">
        <v>230</v>
      </c>
      <c r="I9" s="8">
        <v>0.15</v>
      </c>
      <c r="J9" s="13">
        <f t="shared" si="0"/>
        <v>1.2</v>
      </c>
    </row>
    <row r="10" spans="1:11" ht="57">
      <c r="A10" s="5">
        <v>11</v>
      </c>
      <c r="B10" s="6" t="s">
        <v>43</v>
      </c>
      <c r="C10" s="6" t="s">
        <v>13</v>
      </c>
      <c r="D10" s="6" t="s">
        <v>40</v>
      </c>
      <c r="E10" s="6" t="s">
        <v>136</v>
      </c>
      <c r="F10" s="5" t="s">
        <v>223</v>
      </c>
      <c r="G10" s="7" t="s">
        <v>236</v>
      </c>
      <c r="H10" s="5" t="s">
        <v>224</v>
      </c>
      <c r="I10" s="8">
        <v>0.36</v>
      </c>
      <c r="J10" s="13">
        <f t="shared" si="0"/>
        <v>3.96</v>
      </c>
    </row>
    <row r="11" spans="1:11">
      <c r="A11" s="5">
        <v>1</v>
      </c>
      <c r="B11" s="6" t="s">
        <v>62</v>
      </c>
      <c r="C11" s="6" t="s">
        <v>53</v>
      </c>
      <c r="D11" s="6" t="s">
        <v>58</v>
      </c>
      <c r="E11" s="6" t="s">
        <v>222</v>
      </c>
      <c r="F11" s="5"/>
      <c r="G11" s="7"/>
      <c r="H11" s="5"/>
      <c r="I11" s="8"/>
      <c r="J11" s="13">
        <f t="shared" si="0"/>
        <v>0</v>
      </c>
      <c r="K11" s="4" t="s">
        <v>108</v>
      </c>
    </row>
    <row r="12" spans="1:11">
      <c r="A12" s="5">
        <v>1</v>
      </c>
      <c r="B12" s="6" t="s">
        <v>62</v>
      </c>
      <c r="C12" s="6" t="s">
        <v>56</v>
      </c>
      <c r="D12" s="6" t="s">
        <v>58</v>
      </c>
      <c r="E12" s="6" t="s">
        <v>222</v>
      </c>
      <c r="F12" s="5"/>
      <c r="G12" s="7"/>
      <c r="H12" s="5"/>
      <c r="I12" s="8"/>
      <c r="J12" s="13">
        <f t="shared" si="0"/>
        <v>0</v>
      </c>
      <c r="K12" s="4" t="s">
        <v>107</v>
      </c>
    </row>
    <row r="13" spans="1:11">
      <c r="A13" s="5">
        <v>1</v>
      </c>
      <c r="B13" s="6" t="s">
        <v>62</v>
      </c>
      <c r="C13" s="6" t="s">
        <v>54</v>
      </c>
      <c r="D13" s="6" t="s">
        <v>58</v>
      </c>
      <c r="E13" s="6" t="s">
        <v>222</v>
      </c>
      <c r="F13" s="5"/>
      <c r="G13" s="7"/>
      <c r="H13" s="5"/>
      <c r="I13" s="8"/>
      <c r="J13" s="13">
        <f t="shared" si="0"/>
        <v>0</v>
      </c>
      <c r="K13" s="4" t="s">
        <v>108</v>
      </c>
    </row>
    <row r="14" spans="1:11">
      <c r="A14" s="5">
        <v>2</v>
      </c>
      <c r="B14" s="6" t="s">
        <v>62</v>
      </c>
      <c r="C14" s="6" t="s">
        <v>55</v>
      </c>
      <c r="D14" s="6" t="s">
        <v>58</v>
      </c>
      <c r="E14" s="6" t="s">
        <v>222</v>
      </c>
      <c r="F14" s="5"/>
      <c r="G14" s="7"/>
      <c r="H14" s="5"/>
      <c r="I14" s="8"/>
      <c r="J14" s="13">
        <f t="shared" si="0"/>
        <v>0</v>
      </c>
      <c r="K14" s="4" t="s">
        <v>108</v>
      </c>
    </row>
    <row r="15" spans="1:11">
      <c r="A15" s="5">
        <v>18</v>
      </c>
      <c r="B15" s="6" t="s">
        <v>62</v>
      </c>
      <c r="C15" s="6" t="s">
        <v>57</v>
      </c>
      <c r="D15" s="6" t="s">
        <v>58</v>
      </c>
      <c r="E15" s="6" t="s">
        <v>222</v>
      </c>
      <c r="F15" s="5"/>
      <c r="G15" s="7"/>
      <c r="H15" s="5"/>
      <c r="I15" s="8"/>
      <c r="J15" s="13">
        <f t="shared" si="0"/>
        <v>0</v>
      </c>
      <c r="K15" s="4" t="s">
        <v>108</v>
      </c>
    </row>
    <row r="16" spans="1:11">
      <c r="A16" s="5">
        <v>1</v>
      </c>
      <c r="B16" s="6" t="s">
        <v>62</v>
      </c>
      <c r="C16" s="6" t="s">
        <v>59</v>
      </c>
      <c r="D16" s="6" t="s">
        <v>58</v>
      </c>
      <c r="E16" s="6" t="s">
        <v>222</v>
      </c>
      <c r="F16" s="5"/>
      <c r="G16" s="7"/>
      <c r="H16" s="5"/>
      <c r="I16" s="8"/>
      <c r="J16" s="13">
        <f t="shared" si="0"/>
        <v>0</v>
      </c>
      <c r="K16" s="4" t="s">
        <v>108</v>
      </c>
    </row>
    <row r="17" spans="1:11">
      <c r="A17" s="5">
        <v>1</v>
      </c>
      <c r="B17" s="6" t="s">
        <v>62</v>
      </c>
      <c r="C17" s="6" t="s">
        <v>60</v>
      </c>
      <c r="D17" s="6" t="s">
        <v>58</v>
      </c>
      <c r="E17" s="6" t="s">
        <v>222</v>
      </c>
      <c r="F17" s="5"/>
      <c r="G17" s="7"/>
      <c r="H17" s="5"/>
      <c r="I17" s="8"/>
      <c r="J17" s="13">
        <f t="shared" si="0"/>
        <v>0</v>
      </c>
      <c r="K17" s="4" t="s">
        <v>107</v>
      </c>
    </row>
    <row r="18" spans="1:11">
      <c r="A18" s="5">
        <v>2</v>
      </c>
      <c r="B18" s="6" t="s">
        <v>63</v>
      </c>
      <c r="C18" s="6" t="s">
        <v>34</v>
      </c>
      <c r="D18" s="6" t="s">
        <v>33</v>
      </c>
      <c r="E18" s="6" t="s">
        <v>219</v>
      </c>
      <c r="F18" s="6" t="s">
        <v>220</v>
      </c>
      <c r="G18" s="9"/>
      <c r="H18" s="5" t="s">
        <v>221</v>
      </c>
      <c r="I18" s="8">
        <v>0.96</v>
      </c>
      <c r="J18" s="13">
        <f t="shared" si="0"/>
        <v>1.92</v>
      </c>
      <c r="K18" s="4" t="s">
        <v>109</v>
      </c>
    </row>
    <row r="19" spans="1:11">
      <c r="A19" s="5">
        <v>1</v>
      </c>
      <c r="B19" s="6" t="s">
        <v>64</v>
      </c>
      <c r="C19" s="6" t="s">
        <v>37</v>
      </c>
      <c r="D19" s="6" t="s">
        <v>36</v>
      </c>
      <c r="E19" s="6" t="s">
        <v>126</v>
      </c>
      <c r="F19" s="6" t="s">
        <v>127</v>
      </c>
      <c r="G19" s="9"/>
      <c r="H19" s="6" t="s">
        <v>128</v>
      </c>
      <c r="I19" s="10">
        <v>1.75</v>
      </c>
      <c r="J19" s="13">
        <f t="shared" si="0"/>
        <v>1.75</v>
      </c>
      <c r="K19" s="4" t="s">
        <v>108</v>
      </c>
    </row>
    <row r="20" spans="1:11">
      <c r="A20" s="5">
        <v>1</v>
      </c>
      <c r="B20" s="6" t="s">
        <v>64</v>
      </c>
      <c r="C20" s="6" t="s">
        <v>38</v>
      </c>
      <c r="D20" s="6" t="s">
        <v>36</v>
      </c>
      <c r="E20" s="6" t="s">
        <v>126</v>
      </c>
      <c r="F20" s="6" t="s">
        <v>130</v>
      </c>
      <c r="G20" s="9"/>
      <c r="H20" s="6" t="s">
        <v>131</v>
      </c>
      <c r="I20" s="8">
        <v>1.75</v>
      </c>
      <c r="J20" s="13">
        <f t="shared" si="0"/>
        <v>1.75</v>
      </c>
      <c r="K20" s="4" t="s">
        <v>108</v>
      </c>
    </row>
    <row r="21" spans="1:11">
      <c r="A21" s="5">
        <v>4</v>
      </c>
      <c r="B21" s="6" t="s">
        <v>68</v>
      </c>
      <c r="C21" s="6" t="s">
        <v>70</v>
      </c>
      <c r="D21" s="6" t="s">
        <v>67</v>
      </c>
      <c r="E21" s="6" t="s">
        <v>222</v>
      </c>
      <c r="F21" s="5"/>
      <c r="G21" s="7"/>
      <c r="H21" s="5"/>
      <c r="I21" s="8"/>
      <c r="J21" s="13">
        <f t="shared" si="0"/>
        <v>0</v>
      </c>
    </row>
    <row r="22" spans="1:11">
      <c r="A22" s="5">
        <v>2</v>
      </c>
      <c r="B22" s="6" t="s">
        <v>68</v>
      </c>
      <c r="C22" s="6" t="s">
        <v>69</v>
      </c>
      <c r="D22" s="6" t="s">
        <v>67</v>
      </c>
      <c r="E22" s="6" t="s">
        <v>222</v>
      </c>
      <c r="F22" s="5"/>
      <c r="G22" s="7"/>
      <c r="H22" s="5"/>
      <c r="I22" s="8"/>
      <c r="J22" s="13">
        <f t="shared" si="0"/>
        <v>0</v>
      </c>
    </row>
    <row r="23" spans="1:11">
      <c r="A23" s="5">
        <v>2</v>
      </c>
      <c r="B23" s="6" t="s">
        <v>61</v>
      </c>
      <c r="C23" s="6" t="s">
        <v>16</v>
      </c>
      <c r="D23" s="6" t="s">
        <v>42</v>
      </c>
      <c r="E23" s="6" t="s">
        <v>121</v>
      </c>
      <c r="F23" s="6" t="s">
        <v>16</v>
      </c>
      <c r="G23" s="9"/>
      <c r="H23" s="5" t="s">
        <v>218</v>
      </c>
      <c r="I23" s="8">
        <v>0.13</v>
      </c>
      <c r="J23" s="13">
        <f t="shared" si="0"/>
        <v>0.26</v>
      </c>
    </row>
    <row r="24" spans="1:11">
      <c r="A24" s="5">
        <v>7</v>
      </c>
      <c r="B24" s="6" t="s">
        <v>65</v>
      </c>
      <c r="C24" s="6" t="s">
        <v>5</v>
      </c>
      <c r="D24" s="6" t="s">
        <v>42</v>
      </c>
      <c r="E24" s="6" t="s">
        <v>216</v>
      </c>
      <c r="F24" s="6" t="s">
        <v>5</v>
      </c>
      <c r="G24" s="9"/>
      <c r="H24" s="6" t="s">
        <v>217</v>
      </c>
      <c r="I24" s="8">
        <v>0.12</v>
      </c>
      <c r="J24" s="13">
        <f t="shared" si="0"/>
        <v>0.84</v>
      </c>
    </row>
    <row r="25" spans="1:11">
      <c r="A25" s="5">
        <v>2</v>
      </c>
      <c r="B25" s="6" t="s">
        <v>49</v>
      </c>
      <c r="C25" s="6">
        <v>555</v>
      </c>
      <c r="D25" s="6" t="s">
        <v>51</v>
      </c>
      <c r="E25" s="5" t="s">
        <v>123</v>
      </c>
      <c r="F25" s="6" t="s">
        <v>167</v>
      </c>
      <c r="G25" s="9"/>
      <c r="H25" s="6" t="s">
        <v>168</v>
      </c>
      <c r="I25" s="8">
        <v>0.51</v>
      </c>
      <c r="J25" s="13">
        <f t="shared" si="0"/>
        <v>1.02</v>
      </c>
    </row>
    <row r="26" spans="1:11">
      <c r="A26" s="5">
        <v>1</v>
      </c>
      <c r="B26" s="6" t="s">
        <v>49</v>
      </c>
      <c r="C26" s="6">
        <v>4016</v>
      </c>
      <c r="D26" s="6" t="s">
        <v>46</v>
      </c>
      <c r="E26" s="5" t="s">
        <v>123</v>
      </c>
      <c r="F26" s="6" t="s">
        <v>202</v>
      </c>
      <c r="G26" s="9"/>
      <c r="H26" s="6" t="s">
        <v>203</v>
      </c>
      <c r="I26" s="8">
        <v>0.79</v>
      </c>
      <c r="J26" s="13">
        <f t="shared" si="0"/>
        <v>0.79</v>
      </c>
    </row>
    <row r="27" spans="1:11">
      <c r="A27" s="5">
        <v>1</v>
      </c>
      <c r="B27" s="6" t="s">
        <v>49</v>
      </c>
      <c r="C27" s="6" t="s">
        <v>7</v>
      </c>
      <c r="D27" s="6" t="s">
        <v>46</v>
      </c>
      <c r="E27" s="6" t="s">
        <v>123</v>
      </c>
      <c r="F27" s="5" t="s">
        <v>125</v>
      </c>
      <c r="G27" s="7"/>
      <c r="H27" s="5" t="s">
        <v>124</v>
      </c>
      <c r="I27" s="8">
        <v>1.86</v>
      </c>
      <c r="J27" s="13">
        <f t="shared" si="0"/>
        <v>1.86</v>
      </c>
      <c r="K27" s="4" t="s">
        <v>110</v>
      </c>
    </row>
    <row r="28" spans="1:11">
      <c r="A28" s="5">
        <v>1</v>
      </c>
      <c r="B28" s="6" t="s">
        <v>50</v>
      </c>
      <c r="C28" s="6" t="s">
        <v>17</v>
      </c>
      <c r="D28" s="6" t="s">
        <v>48</v>
      </c>
      <c r="E28" s="6" t="s">
        <v>200</v>
      </c>
      <c r="F28" s="6" t="s">
        <v>201</v>
      </c>
      <c r="G28" s="9"/>
      <c r="H28" s="5" t="s">
        <v>215</v>
      </c>
      <c r="I28" s="8">
        <v>1.22</v>
      </c>
      <c r="J28" s="13">
        <f t="shared" si="0"/>
        <v>1.22</v>
      </c>
      <c r="K28" s="4" t="s">
        <v>111</v>
      </c>
    </row>
    <row r="29" spans="1:11">
      <c r="A29" s="5">
        <v>1</v>
      </c>
      <c r="B29" s="6" t="s">
        <v>50</v>
      </c>
      <c r="C29" s="6" t="s">
        <v>6</v>
      </c>
      <c r="D29" s="6" t="s">
        <v>48</v>
      </c>
      <c r="E29" s="6" t="s">
        <v>200</v>
      </c>
      <c r="F29" s="6" t="s">
        <v>201</v>
      </c>
      <c r="G29" s="9"/>
      <c r="H29" s="5" t="s">
        <v>215</v>
      </c>
      <c r="I29" s="8">
        <v>1.22</v>
      </c>
      <c r="J29" s="13">
        <f t="shared" si="0"/>
        <v>1.22</v>
      </c>
      <c r="K29" s="4" t="s">
        <v>107</v>
      </c>
    </row>
    <row r="30" spans="1:11">
      <c r="A30" s="5">
        <v>7</v>
      </c>
      <c r="B30" s="6" t="s">
        <v>66</v>
      </c>
      <c r="C30" s="6">
        <v>7400</v>
      </c>
      <c r="D30" s="6" t="s">
        <v>46</v>
      </c>
      <c r="E30" s="5" t="s">
        <v>123</v>
      </c>
      <c r="F30" s="6" t="s">
        <v>144</v>
      </c>
      <c r="G30" s="9"/>
      <c r="H30" s="6" t="s">
        <v>145</v>
      </c>
      <c r="I30" s="8">
        <v>0.56999999999999995</v>
      </c>
      <c r="J30" s="13">
        <f t="shared" si="0"/>
        <v>3.9899999999999998</v>
      </c>
    </row>
    <row r="31" spans="1:11">
      <c r="A31" s="5">
        <v>4</v>
      </c>
      <c r="B31" s="6" t="s">
        <v>66</v>
      </c>
      <c r="C31" s="6">
        <v>7402</v>
      </c>
      <c r="D31" s="6" t="s">
        <v>46</v>
      </c>
      <c r="E31" s="5" t="s">
        <v>123</v>
      </c>
      <c r="F31" s="6" t="s">
        <v>169</v>
      </c>
      <c r="G31" s="9"/>
      <c r="H31" s="6" t="s">
        <v>170</v>
      </c>
      <c r="I31" s="8">
        <v>0.57999999999999996</v>
      </c>
      <c r="J31" s="13">
        <f t="shared" si="0"/>
        <v>2.3199999999999998</v>
      </c>
    </row>
    <row r="32" spans="1:11">
      <c r="A32" s="5">
        <v>6</v>
      </c>
      <c r="B32" s="6" t="s">
        <v>66</v>
      </c>
      <c r="C32" s="6">
        <v>7404</v>
      </c>
      <c r="D32" s="6" t="s">
        <v>46</v>
      </c>
      <c r="E32" s="5" t="s">
        <v>123</v>
      </c>
      <c r="F32" s="6" t="s">
        <v>146</v>
      </c>
      <c r="G32" s="9"/>
      <c r="H32" s="6" t="s">
        <v>147</v>
      </c>
      <c r="I32" s="8">
        <v>0.67</v>
      </c>
      <c r="J32" s="13">
        <f t="shared" si="0"/>
        <v>4.0200000000000005</v>
      </c>
    </row>
    <row r="33" spans="1:11">
      <c r="A33" s="5">
        <v>9</v>
      </c>
      <c r="B33" s="6" t="s">
        <v>66</v>
      </c>
      <c r="C33" s="6">
        <v>7408</v>
      </c>
      <c r="D33" s="6" t="s">
        <v>46</v>
      </c>
      <c r="E33" s="5" t="s">
        <v>123</v>
      </c>
      <c r="F33" s="6" t="s">
        <v>148</v>
      </c>
      <c r="G33" s="9"/>
      <c r="H33" s="6" t="s">
        <v>149</v>
      </c>
      <c r="I33" s="8">
        <v>0.59</v>
      </c>
      <c r="J33" s="13">
        <f t="shared" si="0"/>
        <v>5.31</v>
      </c>
    </row>
    <row r="34" spans="1:11">
      <c r="A34" s="5">
        <v>2</v>
      </c>
      <c r="B34" s="6" t="s">
        <v>66</v>
      </c>
      <c r="C34" s="6">
        <v>7410</v>
      </c>
      <c r="D34" s="6" t="s">
        <v>46</v>
      </c>
      <c r="E34" s="5" t="s">
        <v>123</v>
      </c>
      <c r="F34" s="6" t="s">
        <v>150</v>
      </c>
      <c r="G34" s="9"/>
      <c r="H34" s="6" t="s">
        <v>151</v>
      </c>
      <c r="I34" s="8">
        <v>0.68</v>
      </c>
      <c r="J34" s="13">
        <f t="shared" si="0"/>
        <v>1.36</v>
      </c>
    </row>
    <row r="35" spans="1:11">
      <c r="A35" s="5">
        <v>4</v>
      </c>
      <c r="B35" s="6" t="s">
        <v>66</v>
      </c>
      <c r="C35" s="6">
        <v>7411</v>
      </c>
      <c r="D35" s="6" t="s">
        <v>46</v>
      </c>
      <c r="E35" s="5" t="s">
        <v>123</v>
      </c>
      <c r="F35" s="6" t="s">
        <v>171</v>
      </c>
      <c r="G35" s="9"/>
      <c r="H35" s="6" t="s">
        <v>172</v>
      </c>
      <c r="I35" s="8">
        <v>0.69</v>
      </c>
      <c r="J35" s="13">
        <f t="shared" si="0"/>
        <v>2.76</v>
      </c>
    </row>
    <row r="36" spans="1:11">
      <c r="A36" s="5">
        <v>1</v>
      </c>
      <c r="B36" s="6" t="s">
        <v>66</v>
      </c>
      <c r="C36" s="6">
        <v>7420</v>
      </c>
      <c r="D36" s="6" t="s">
        <v>46</v>
      </c>
      <c r="E36" s="5" t="s">
        <v>123</v>
      </c>
      <c r="F36" s="6" t="s">
        <v>173</v>
      </c>
      <c r="G36" s="9"/>
      <c r="H36" s="6" t="s">
        <v>174</v>
      </c>
      <c r="I36" s="8">
        <v>0.75</v>
      </c>
      <c r="J36" s="13">
        <f t="shared" si="0"/>
        <v>0.75</v>
      </c>
    </row>
    <row r="37" spans="1:11">
      <c r="A37" s="5">
        <v>2</v>
      </c>
      <c r="B37" s="6" t="s">
        <v>66</v>
      </c>
      <c r="C37" s="6">
        <v>7427</v>
      </c>
      <c r="D37" s="6" t="s">
        <v>46</v>
      </c>
      <c r="E37" s="5" t="s">
        <v>123</v>
      </c>
      <c r="F37" s="6" t="s">
        <v>152</v>
      </c>
      <c r="G37" s="9"/>
      <c r="H37" s="6" t="s">
        <v>154</v>
      </c>
      <c r="I37" s="8">
        <v>1.07</v>
      </c>
      <c r="J37" s="13">
        <f t="shared" si="0"/>
        <v>2.14</v>
      </c>
    </row>
    <row r="38" spans="1:11">
      <c r="A38" s="5">
        <v>1</v>
      </c>
      <c r="B38" s="6" t="s">
        <v>66</v>
      </c>
      <c r="C38" s="6">
        <v>7430</v>
      </c>
      <c r="D38" s="6" t="s">
        <v>46</v>
      </c>
      <c r="E38" s="5" t="s">
        <v>123</v>
      </c>
      <c r="F38" s="6" t="s">
        <v>155</v>
      </c>
      <c r="G38" s="9"/>
      <c r="H38" s="6" t="s">
        <v>156</v>
      </c>
      <c r="I38" s="8">
        <v>1.0900000000000001</v>
      </c>
      <c r="J38" s="13">
        <f t="shared" si="0"/>
        <v>1.0900000000000001</v>
      </c>
    </row>
    <row r="39" spans="1:11">
      <c r="A39" s="5">
        <v>2</v>
      </c>
      <c r="B39" s="6" t="s">
        <v>66</v>
      </c>
      <c r="C39" s="6">
        <v>7432</v>
      </c>
      <c r="D39" s="6" t="s">
        <v>46</v>
      </c>
      <c r="E39" s="5" t="s">
        <v>123</v>
      </c>
      <c r="F39" s="6" t="s">
        <v>157</v>
      </c>
      <c r="G39" s="9"/>
      <c r="H39" s="6" t="s">
        <v>158</v>
      </c>
      <c r="I39" s="8">
        <v>0.56000000000000005</v>
      </c>
      <c r="J39" s="13">
        <f t="shared" si="0"/>
        <v>1.1200000000000001</v>
      </c>
    </row>
    <row r="40" spans="1:11">
      <c r="A40" s="5">
        <v>1</v>
      </c>
      <c r="B40" s="6" t="s">
        <v>66</v>
      </c>
      <c r="C40" s="6">
        <v>7437</v>
      </c>
      <c r="D40" s="6" t="s">
        <v>46</v>
      </c>
      <c r="E40" s="5" t="s">
        <v>123</v>
      </c>
      <c r="F40" s="6" t="s">
        <v>153</v>
      </c>
      <c r="G40" s="9"/>
      <c r="H40" s="6" t="s">
        <v>175</v>
      </c>
      <c r="I40" s="8">
        <v>1.21</v>
      </c>
      <c r="J40" s="13">
        <f t="shared" si="0"/>
        <v>1.21</v>
      </c>
    </row>
    <row r="41" spans="1:11">
      <c r="A41" s="5">
        <v>1</v>
      </c>
      <c r="B41" s="6" t="s">
        <v>66</v>
      </c>
      <c r="C41" s="6">
        <v>7448</v>
      </c>
      <c r="D41" s="6" t="s">
        <v>46</v>
      </c>
      <c r="E41" s="5" t="s">
        <v>231</v>
      </c>
      <c r="F41" s="6"/>
      <c r="G41" s="9"/>
      <c r="H41" s="6"/>
      <c r="I41" s="8"/>
      <c r="J41" s="13">
        <f t="shared" si="0"/>
        <v>0</v>
      </c>
      <c r="K41" s="4" t="s">
        <v>195</v>
      </c>
    </row>
    <row r="42" spans="1:11">
      <c r="A42" s="5">
        <v>12</v>
      </c>
      <c r="B42" s="6" t="s">
        <v>66</v>
      </c>
      <c r="C42" s="6">
        <v>7474</v>
      </c>
      <c r="D42" s="6" t="s">
        <v>46</v>
      </c>
      <c r="E42" s="5" t="s">
        <v>123</v>
      </c>
      <c r="F42" s="6" t="s">
        <v>132</v>
      </c>
      <c r="G42" s="9"/>
      <c r="H42" s="6" t="s">
        <v>133</v>
      </c>
      <c r="I42" s="8">
        <v>0.75</v>
      </c>
      <c r="J42" s="13">
        <f t="shared" si="0"/>
        <v>9</v>
      </c>
    </row>
    <row r="43" spans="1:11">
      <c r="A43" s="5">
        <v>9</v>
      </c>
      <c r="B43" s="6" t="s">
        <v>66</v>
      </c>
      <c r="C43" s="6">
        <v>7486</v>
      </c>
      <c r="D43" s="6" t="s">
        <v>46</v>
      </c>
      <c r="E43" s="5" t="s">
        <v>123</v>
      </c>
      <c r="F43" s="6" t="s">
        <v>159</v>
      </c>
      <c r="G43" s="9"/>
      <c r="H43" s="6" t="s">
        <v>160</v>
      </c>
      <c r="I43" s="8">
        <v>0.52</v>
      </c>
      <c r="J43" s="13">
        <f t="shared" si="0"/>
        <v>4.68</v>
      </c>
    </row>
    <row r="44" spans="1:11">
      <c r="A44" s="5">
        <v>1</v>
      </c>
      <c r="B44" s="6" t="s">
        <v>66</v>
      </c>
      <c r="C44" s="6">
        <v>74107</v>
      </c>
      <c r="D44" s="6" t="s">
        <v>46</v>
      </c>
      <c r="E44" s="5" t="s">
        <v>123</v>
      </c>
      <c r="F44" s="6" t="s">
        <v>176</v>
      </c>
      <c r="G44" s="9"/>
      <c r="H44" s="6" t="s">
        <v>177</v>
      </c>
      <c r="I44" s="8">
        <v>2.35</v>
      </c>
      <c r="J44" s="13">
        <f t="shared" si="0"/>
        <v>2.35</v>
      </c>
    </row>
    <row r="45" spans="1:11">
      <c r="A45" s="5">
        <v>4</v>
      </c>
      <c r="B45" s="6" t="s">
        <v>66</v>
      </c>
      <c r="C45" s="6">
        <v>74123</v>
      </c>
      <c r="D45" s="6" t="s">
        <v>47</v>
      </c>
      <c r="E45" s="5" t="s">
        <v>123</v>
      </c>
      <c r="F45" s="6" t="s">
        <v>178</v>
      </c>
      <c r="G45" s="9"/>
      <c r="H45" s="6" t="s">
        <v>179</v>
      </c>
      <c r="I45" s="8">
        <v>0.56999999999999995</v>
      </c>
      <c r="J45" s="13">
        <f t="shared" si="0"/>
        <v>2.2799999999999998</v>
      </c>
    </row>
    <row r="46" spans="1:11">
      <c r="A46" s="5">
        <v>6</v>
      </c>
      <c r="B46" s="6" t="s">
        <v>66</v>
      </c>
      <c r="C46" s="6">
        <v>74151</v>
      </c>
      <c r="D46" s="6" t="s">
        <v>47</v>
      </c>
      <c r="E46" s="5" t="s">
        <v>123</v>
      </c>
      <c r="F46" s="6" t="s">
        <v>180</v>
      </c>
      <c r="G46" s="9"/>
      <c r="H46" s="6" t="s">
        <v>181</v>
      </c>
      <c r="I46" s="8">
        <v>0.84</v>
      </c>
      <c r="J46" s="13">
        <f t="shared" si="0"/>
        <v>5.04</v>
      </c>
    </row>
    <row r="47" spans="1:11">
      <c r="A47" s="5">
        <v>6</v>
      </c>
      <c r="B47" s="6" t="s">
        <v>66</v>
      </c>
      <c r="C47" s="6">
        <v>74160</v>
      </c>
      <c r="D47" s="6" t="s">
        <v>47</v>
      </c>
      <c r="E47" s="5" t="s">
        <v>123</v>
      </c>
      <c r="F47" s="5"/>
      <c r="G47" s="7"/>
      <c r="H47" s="5"/>
      <c r="I47" s="8"/>
      <c r="J47" s="13">
        <f t="shared" si="0"/>
        <v>0</v>
      </c>
      <c r="K47" s="4" t="s">
        <v>195</v>
      </c>
    </row>
    <row r="48" spans="1:11">
      <c r="A48" s="5">
        <v>11</v>
      </c>
      <c r="B48" s="6" t="s">
        <v>66</v>
      </c>
      <c r="C48" s="6">
        <v>74161</v>
      </c>
      <c r="D48" s="6" t="s">
        <v>47</v>
      </c>
      <c r="E48" s="5" t="s">
        <v>123</v>
      </c>
      <c r="F48" s="6" t="s">
        <v>182</v>
      </c>
      <c r="G48" s="9"/>
      <c r="H48" s="6" t="s">
        <v>183</v>
      </c>
      <c r="I48" s="8">
        <v>0.73</v>
      </c>
      <c r="J48" s="13">
        <f t="shared" si="0"/>
        <v>8.0299999999999994</v>
      </c>
    </row>
    <row r="49" spans="1:11">
      <c r="A49" s="5">
        <v>1</v>
      </c>
      <c r="B49" s="6" t="s">
        <v>66</v>
      </c>
      <c r="C49" s="6">
        <v>74175</v>
      </c>
      <c r="D49" s="6" t="s">
        <v>47</v>
      </c>
      <c r="E49" s="5" t="s">
        <v>123</v>
      </c>
      <c r="F49" s="6" t="s">
        <v>184</v>
      </c>
      <c r="G49" s="9"/>
      <c r="H49" s="6" t="s">
        <v>185</v>
      </c>
      <c r="I49" s="8">
        <v>0.77</v>
      </c>
      <c r="J49" s="13">
        <f t="shared" si="0"/>
        <v>0.77</v>
      </c>
    </row>
    <row r="50" spans="1:11">
      <c r="A50" s="5">
        <v>1</v>
      </c>
      <c r="B50" s="6" t="s">
        <v>66</v>
      </c>
      <c r="C50" s="6">
        <v>74192</v>
      </c>
      <c r="D50" s="6" t="s">
        <v>47</v>
      </c>
      <c r="E50" s="5" t="s">
        <v>231</v>
      </c>
      <c r="F50" s="5"/>
      <c r="G50" s="7"/>
      <c r="H50" s="5"/>
      <c r="I50" s="8"/>
      <c r="J50" s="13">
        <f t="shared" si="0"/>
        <v>0</v>
      </c>
      <c r="K50" s="4" t="s">
        <v>196</v>
      </c>
    </row>
    <row r="51" spans="1:11">
      <c r="A51" s="5">
        <v>3</v>
      </c>
      <c r="B51" s="6" t="s">
        <v>66</v>
      </c>
      <c r="C51" s="6">
        <v>74193</v>
      </c>
      <c r="D51" s="6" t="s">
        <v>47</v>
      </c>
      <c r="E51" s="5" t="s">
        <v>123</v>
      </c>
      <c r="F51" s="6" t="s">
        <v>186</v>
      </c>
      <c r="G51" s="9"/>
      <c r="H51" s="6" t="s">
        <v>187</v>
      </c>
      <c r="I51" s="8">
        <v>1.01</v>
      </c>
      <c r="J51" s="13">
        <f t="shared" si="0"/>
        <v>3.0300000000000002</v>
      </c>
    </row>
    <row r="52" spans="1:11">
      <c r="A52" s="5">
        <v>2</v>
      </c>
      <c r="B52" s="6" t="s">
        <v>66</v>
      </c>
      <c r="C52" s="6">
        <v>74279</v>
      </c>
      <c r="D52" s="6" t="s">
        <v>47</v>
      </c>
      <c r="E52" s="5" t="s">
        <v>123</v>
      </c>
      <c r="F52" s="6" t="s">
        <v>142</v>
      </c>
      <c r="G52" s="9"/>
      <c r="H52" s="6" t="s">
        <v>143</v>
      </c>
      <c r="I52" s="8">
        <v>1.79</v>
      </c>
      <c r="J52" s="13">
        <f t="shared" si="0"/>
        <v>3.58</v>
      </c>
    </row>
    <row r="53" spans="1:11">
      <c r="A53" s="5">
        <v>2</v>
      </c>
      <c r="B53" s="6" t="s">
        <v>66</v>
      </c>
      <c r="C53" s="6">
        <v>74283</v>
      </c>
      <c r="D53" s="6" t="s">
        <v>47</v>
      </c>
      <c r="E53" s="5" t="s">
        <v>123</v>
      </c>
      <c r="F53" s="6" t="s">
        <v>165</v>
      </c>
      <c r="G53" s="9"/>
      <c r="H53" s="6" t="s">
        <v>166</v>
      </c>
      <c r="I53" s="8">
        <v>2</v>
      </c>
      <c r="J53" s="13">
        <f t="shared" si="0"/>
        <v>4</v>
      </c>
    </row>
    <row r="54" spans="1:11">
      <c r="A54" s="5">
        <v>1</v>
      </c>
      <c r="B54" s="6" t="s">
        <v>66</v>
      </c>
      <c r="C54" s="6" t="s">
        <v>18</v>
      </c>
      <c r="D54" s="6" t="s">
        <v>47</v>
      </c>
      <c r="E54" s="6" t="s">
        <v>123</v>
      </c>
      <c r="F54" s="6" t="s">
        <v>167</v>
      </c>
      <c r="G54" s="9"/>
      <c r="H54" s="6" t="s">
        <v>168</v>
      </c>
      <c r="I54" s="8">
        <v>0.3</v>
      </c>
      <c r="J54" s="13">
        <f t="shared" si="0"/>
        <v>0.3</v>
      </c>
    </row>
    <row r="55" spans="1:11">
      <c r="A55" s="5">
        <v>3</v>
      </c>
      <c r="B55" s="6" t="s">
        <v>102</v>
      </c>
      <c r="C55" s="6" t="s">
        <v>23</v>
      </c>
      <c r="D55" s="6" t="s">
        <v>101</v>
      </c>
      <c r="E55" s="6" t="s">
        <v>121</v>
      </c>
      <c r="F55" s="6" t="s">
        <v>193</v>
      </c>
      <c r="G55" s="9"/>
      <c r="H55" s="6" t="s">
        <v>194</v>
      </c>
      <c r="I55" s="8">
        <v>0.55000000000000004</v>
      </c>
      <c r="J55" s="13">
        <f t="shared" si="0"/>
        <v>1.6500000000000001</v>
      </c>
      <c r="K55" s="4" t="s">
        <v>108</v>
      </c>
    </row>
    <row r="56" spans="1:11">
      <c r="A56" s="5">
        <v>2</v>
      </c>
      <c r="B56" s="6" t="s">
        <v>102</v>
      </c>
      <c r="C56" s="6" t="s">
        <v>20</v>
      </c>
      <c r="D56" s="6" t="s">
        <v>101</v>
      </c>
      <c r="E56" s="6" t="s">
        <v>121</v>
      </c>
      <c r="F56" s="6" t="s">
        <v>20</v>
      </c>
      <c r="G56" s="9"/>
      <c r="H56" s="6" t="s">
        <v>189</v>
      </c>
      <c r="I56" s="8">
        <v>0.16</v>
      </c>
      <c r="J56" s="13">
        <f t="shared" si="0"/>
        <v>0.32</v>
      </c>
    </row>
    <row r="57" spans="1:11">
      <c r="A57" s="5">
        <v>1</v>
      </c>
      <c r="B57" s="6" t="s">
        <v>102</v>
      </c>
      <c r="C57" s="6" t="s">
        <v>22</v>
      </c>
      <c r="D57" s="6" t="s">
        <v>98</v>
      </c>
      <c r="E57" s="6" t="s">
        <v>188</v>
      </c>
      <c r="F57" s="6" t="s">
        <v>191</v>
      </c>
      <c r="G57" s="9"/>
      <c r="H57" s="6" t="s">
        <v>192</v>
      </c>
      <c r="I57" s="8">
        <v>1.4</v>
      </c>
      <c r="J57" s="13">
        <f t="shared" si="0"/>
        <v>1.4</v>
      </c>
      <c r="K57" s="4" t="s">
        <v>112</v>
      </c>
    </row>
    <row r="58" spans="1:11">
      <c r="A58" s="5">
        <v>1</v>
      </c>
      <c r="B58" s="6" t="s">
        <v>103</v>
      </c>
      <c r="C58" s="6" t="s">
        <v>19</v>
      </c>
      <c r="D58" s="6" t="s">
        <v>101</v>
      </c>
      <c r="E58" s="6" t="s">
        <v>121</v>
      </c>
      <c r="F58" s="6" t="s">
        <v>19</v>
      </c>
      <c r="G58" s="9"/>
      <c r="H58" s="6" t="s">
        <v>190</v>
      </c>
      <c r="I58" s="8">
        <v>0.16</v>
      </c>
      <c r="J58" s="13">
        <f t="shared" si="0"/>
        <v>0.16</v>
      </c>
    </row>
    <row r="59" spans="1:11">
      <c r="A59" s="5">
        <v>1</v>
      </c>
      <c r="B59" s="6" t="s">
        <v>71</v>
      </c>
      <c r="C59" s="6" t="s">
        <v>79</v>
      </c>
      <c r="D59" s="6" t="s">
        <v>42</v>
      </c>
      <c r="E59" s="6" t="s">
        <v>222</v>
      </c>
      <c r="F59" s="5"/>
      <c r="G59" s="7"/>
      <c r="H59" s="5"/>
      <c r="I59" s="8"/>
      <c r="J59" s="13">
        <f t="shared" si="0"/>
        <v>0</v>
      </c>
    </row>
    <row r="60" spans="1:11">
      <c r="A60" s="5">
        <v>3</v>
      </c>
      <c r="B60" s="6" t="s">
        <v>71</v>
      </c>
      <c r="C60" s="6" t="s">
        <v>73</v>
      </c>
      <c r="D60" s="6" t="s">
        <v>42</v>
      </c>
      <c r="E60" s="6" t="s">
        <v>222</v>
      </c>
      <c r="F60" s="5"/>
      <c r="G60" s="7"/>
      <c r="H60" s="5"/>
      <c r="I60" s="8"/>
      <c r="J60" s="13">
        <f t="shared" si="0"/>
        <v>0</v>
      </c>
    </row>
    <row r="61" spans="1:11">
      <c r="A61" s="5">
        <v>2</v>
      </c>
      <c r="B61" s="6" t="s">
        <v>71</v>
      </c>
      <c r="C61" s="6" t="s">
        <v>80</v>
      </c>
      <c r="D61" s="6" t="s">
        <v>42</v>
      </c>
      <c r="E61" s="6" t="s">
        <v>222</v>
      </c>
      <c r="F61" s="5"/>
      <c r="G61" s="7"/>
      <c r="H61" s="5"/>
      <c r="I61" s="8"/>
      <c r="J61" s="13">
        <f t="shared" si="0"/>
        <v>0</v>
      </c>
    </row>
    <row r="62" spans="1:11">
      <c r="A62" s="5">
        <v>3</v>
      </c>
      <c r="B62" s="6" t="s">
        <v>71</v>
      </c>
      <c r="C62" s="6" t="s">
        <v>74</v>
      </c>
      <c r="D62" s="6" t="s">
        <v>42</v>
      </c>
      <c r="E62" s="6" t="s">
        <v>222</v>
      </c>
      <c r="F62" s="5"/>
      <c r="G62" s="7"/>
      <c r="H62" s="5"/>
      <c r="I62" s="8"/>
      <c r="J62" s="13">
        <f t="shared" si="0"/>
        <v>0</v>
      </c>
    </row>
    <row r="63" spans="1:11">
      <c r="A63" s="5">
        <v>1</v>
      </c>
      <c r="B63" s="6" t="s">
        <v>71</v>
      </c>
      <c r="C63" s="6" t="s">
        <v>89</v>
      </c>
      <c r="D63" s="6" t="s">
        <v>42</v>
      </c>
      <c r="E63" s="6" t="s">
        <v>222</v>
      </c>
      <c r="F63" s="5"/>
      <c r="G63" s="7"/>
      <c r="H63" s="5"/>
      <c r="I63" s="8"/>
      <c r="J63" s="13">
        <f t="shared" si="0"/>
        <v>0</v>
      </c>
    </row>
    <row r="64" spans="1:11">
      <c r="A64" s="5">
        <v>3</v>
      </c>
      <c r="B64" s="6" t="s">
        <v>71</v>
      </c>
      <c r="C64" s="6" t="s">
        <v>75</v>
      </c>
      <c r="D64" s="6" t="s">
        <v>42</v>
      </c>
      <c r="E64" s="6" t="s">
        <v>222</v>
      </c>
      <c r="F64" s="5"/>
      <c r="G64" s="7"/>
      <c r="H64" s="5"/>
      <c r="I64" s="8"/>
      <c r="J64" s="13">
        <f t="shared" si="0"/>
        <v>0</v>
      </c>
    </row>
    <row r="65" spans="1:11">
      <c r="A65" s="5">
        <v>1</v>
      </c>
      <c r="B65" s="6" t="s">
        <v>71</v>
      </c>
      <c r="C65" s="6" t="s">
        <v>81</v>
      </c>
      <c r="D65" s="6" t="s">
        <v>42</v>
      </c>
      <c r="E65" s="6" t="s">
        <v>222</v>
      </c>
      <c r="F65" s="5"/>
      <c r="G65" s="7"/>
      <c r="H65" s="5"/>
      <c r="I65" s="8"/>
      <c r="J65" s="13">
        <f t="shared" ref="J65:J88" si="1">A65*I65</f>
        <v>0</v>
      </c>
    </row>
    <row r="66" spans="1:11">
      <c r="A66" s="5">
        <v>2</v>
      </c>
      <c r="B66" s="6" t="s">
        <v>71</v>
      </c>
      <c r="C66" s="6" t="s">
        <v>82</v>
      </c>
      <c r="D66" s="6" t="s">
        <v>42</v>
      </c>
      <c r="E66" s="6" t="s">
        <v>222</v>
      </c>
      <c r="F66" s="5"/>
      <c r="G66" s="7"/>
      <c r="H66" s="5"/>
      <c r="I66" s="8"/>
      <c r="J66" s="13">
        <f t="shared" si="1"/>
        <v>0</v>
      </c>
    </row>
    <row r="67" spans="1:11">
      <c r="A67" s="5">
        <v>1</v>
      </c>
      <c r="B67" s="6" t="s">
        <v>71</v>
      </c>
      <c r="C67" s="6" t="s">
        <v>83</v>
      </c>
      <c r="D67" s="6" t="s">
        <v>42</v>
      </c>
      <c r="E67" s="6" t="s">
        <v>222</v>
      </c>
      <c r="F67" s="5"/>
      <c r="G67" s="7"/>
      <c r="H67" s="5"/>
      <c r="I67" s="8"/>
      <c r="J67" s="13">
        <f t="shared" si="1"/>
        <v>0</v>
      </c>
    </row>
    <row r="68" spans="1:11">
      <c r="A68" s="5">
        <v>8</v>
      </c>
      <c r="B68" s="6" t="s">
        <v>71</v>
      </c>
      <c r="C68" s="6" t="s">
        <v>76</v>
      </c>
      <c r="D68" s="6" t="s">
        <v>42</v>
      </c>
      <c r="E68" s="6" t="s">
        <v>222</v>
      </c>
      <c r="F68" s="5"/>
      <c r="G68" s="7"/>
      <c r="H68" s="5"/>
      <c r="I68" s="8"/>
      <c r="J68" s="13">
        <f t="shared" si="1"/>
        <v>0</v>
      </c>
    </row>
    <row r="69" spans="1:11">
      <c r="A69" s="5">
        <v>1</v>
      </c>
      <c r="B69" s="6" t="s">
        <v>71</v>
      </c>
      <c r="C69" s="6" t="s">
        <v>84</v>
      </c>
      <c r="D69" s="6" t="s">
        <v>42</v>
      </c>
      <c r="E69" s="6" t="s">
        <v>222</v>
      </c>
      <c r="F69" s="5"/>
      <c r="G69" s="7"/>
      <c r="H69" s="5"/>
      <c r="I69" s="8"/>
      <c r="J69" s="13">
        <f t="shared" si="1"/>
        <v>0</v>
      </c>
    </row>
    <row r="70" spans="1:11">
      <c r="A70" s="5">
        <v>28</v>
      </c>
      <c r="B70" s="6" t="s">
        <v>71</v>
      </c>
      <c r="C70" s="6" t="s">
        <v>85</v>
      </c>
      <c r="D70" s="6" t="s">
        <v>42</v>
      </c>
      <c r="E70" s="6" t="s">
        <v>222</v>
      </c>
      <c r="F70" s="5"/>
      <c r="G70" s="7"/>
      <c r="H70" s="5"/>
      <c r="I70" s="8"/>
      <c r="J70" s="13">
        <f t="shared" si="1"/>
        <v>0</v>
      </c>
    </row>
    <row r="71" spans="1:11">
      <c r="A71" s="5">
        <v>2</v>
      </c>
      <c r="B71" s="6" t="s">
        <v>71</v>
      </c>
      <c r="C71" s="6" t="s">
        <v>77</v>
      </c>
      <c r="D71" s="6" t="s">
        <v>42</v>
      </c>
      <c r="E71" s="6" t="s">
        <v>222</v>
      </c>
      <c r="F71" s="5"/>
      <c r="G71" s="7"/>
      <c r="H71" s="5"/>
      <c r="I71" s="8"/>
      <c r="J71" s="13">
        <f t="shared" si="1"/>
        <v>0</v>
      </c>
    </row>
    <row r="72" spans="1:11">
      <c r="A72" s="5">
        <v>6</v>
      </c>
      <c r="B72" s="6" t="s">
        <v>71</v>
      </c>
      <c r="C72" s="6" t="s">
        <v>86</v>
      </c>
      <c r="D72" s="6" t="s">
        <v>42</v>
      </c>
      <c r="E72" s="6" t="s">
        <v>222</v>
      </c>
      <c r="F72" s="5"/>
      <c r="G72" s="7"/>
      <c r="H72" s="5"/>
      <c r="I72" s="8"/>
      <c r="J72" s="13">
        <f t="shared" si="1"/>
        <v>0</v>
      </c>
    </row>
    <row r="73" spans="1:11">
      <c r="A73" s="5">
        <v>1</v>
      </c>
      <c r="B73" s="6" t="s">
        <v>71</v>
      </c>
      <c r="C73" s="6" t="s">
        <v>72</v>
      </c>
      <c r="D73" s="6" t="s">
        <v>42</v>
      </c>
      <c r="E73" s="6" t="s">
        <v>222</v>
      </c>
      <c r="F73" s="5"/>
      <c r="G73" s="7"/>
      <c r="H73" s="5"/>
      <c r="I73" s="8"/>
      <c r="J73" s="13">
        <f t="shared" si="1"/>
        <v>0</v>
      </c>
    </row>
    <row r="74" spans="1:11">
      <c r="A74" s="5">
        <v>1</v>
      </c>
      <c r="B74" s="6" t="s">
        <v>71</v>
      </c>
      <c r="C74" s="6" t="s">
        <v>87</v>
      </c>
      <c r="D74" s="6" t="s">
        <v>42</v>
      </c>
      <c r="E74" s="6" t="s">
        <v>222</v>
      </c>
      <c r="F74" s="5"/>
      <c r="G74" s="7"/>
      <c r="H74" s="5"/>
      <c r="I74" s="8"/>
      <c r="J74" s="13">
        <f t="shared" si="1"/>
        <v>0</v>
      </c>
    </row>
    <row r="75" spans="1:11">
      <c r="A75" s="5">
        <v>1</v>
      </c>
      <c r="B75" s="6" t="s">
        <v>71</v>
      </c>
      <c r="C75" s="6" t="s">
        <v>78</v>
      </c>
      <c r="D75" s="6" t="s">
        <v>42</v>
      </c>
      <c r="E75" s="6" t="s">
        <v>222</v>
      </c>
      <c r="F75" s="5"/>
      <c r="G75" s="7"/>
      <c r="H75" s="5"/>
      <c r="I75" s="8"/>
      <c r="J75" s="13">
        <f t="shared" si="1"/>
        <v>0</v>
      </c>
    </row>
    <row r="76" spans="1:11">
      <c r="A76" s="5">
        <v>1</v>
      </c>
      <c r="B76" s="6" t="s">
        <v>71</v>
      </c>
      <c r="C76" s="6" t="s">
        <v>88</v>
      </c>
      <c r="D76" s="6" t="s">
        <v>42</v>
      </c>
      <c r="E76" s="6" t="s">
        <v>222</v>
      </c>
      <c r="F76" s="5"/>
      <c r="G76" s="7"/>
      <c r="H76" s="5"/>
      <c r="I76" s="8"/>
      <c r="J76" s="13">
        <f t="shared" si="1"/>
        <v>0</v>
      </c>
    </row>
    <row r="77" spans="1:11">
      <c r="A77" s="5">
        <v>1</v>
      </c>
      <c r="B77" s="6" t="s">
        <v>91</v>
      </c>
      <c r="C77" s="6" t="s">
        <v>24</v>
      </c>
      <c r="D77" s="6" t="s">
        <v>90</v>
      </c>
      <c r="E77" s="6" t="s">
        <v>92</v>
      </c>
      <c r="F77" s="6" t="s">
        <v>134</v>
      </c>
      <c r="G77" s="9"/>
      <c r="H77" s="6" t="s">
        <v>135</v>
      </c>
      <c r="I77" s="8">
        <v>0.89</v>
      </c>
      <c r="J77" s="13">
        <f t="shared" si="1"/>
        <v>0.89</v>
      </c>
    </row>
    <row r="78" spans="1:11">
      <c r="A78" s="5">
        <v>1</v>
      </c>
      <c r="B78" s="6" t="s">
        <v>105</v>
      </c>
      <c r="C78" s="6" t="s">
        <v>25</v>
      </c>
      <c r="D78" s="6" t="s">
        <v>99</v>
      </c>
      <c r="E78" s="6" t="s">
        <v>117</v>
      </c>
      <c r="F78" s="6" t="s">
        <v>25</v>
      </c>
      <c r="G78" s="9"/>
      <c r="H78" s="5"/>
      <c r="I78" s="8">
        <v>7.95</v>
      </c>
      <c r="J78" s="13">
        <f t="shared" si="1"/>
        <v>7.95</v>
      </c>
      <c r="K78" s="4" t="s">
        <v>109</v>
      </c>
    </row>
    <row r="79" spans="1:11">
      <c r="A79" s="5">
        <v>1</v>
      </c>
      <c r="B79" s="6" t="s">
        <v>94</v>
      </c>
      <c r="C79" s="6" t="s">
        <v>93</v>
      </c>
      <c r="D79" s="6" t="s">
        <v>51</v>
      </c>
      <c r="E79" s="6" t="s">
        <v>126</v>
      </c>
      <c r="F79" s="6" t="s">
        <v>209</v>
      </c>
      <c r="G79" s="9"/>
      <c r="H79" s="6" t="s">
        <v>210</v>
      </c>
      <c r="I79" s="8">
        <v>0.65</v>
      </c>
      <c r="J79" s="13">
        <f t="shared" si="1"/>
        <v>0.65</v>
      </c>
    </row>
    <row r="80" spans="1:11">
      <c r="A80" s="5">
        <v>3</v>
      </c>
      <c r="B80" s="6" t="s">
        <v>95</v>
      </c>
      <c r="C80" s="6" t="s">
        <v>96</v>
      </c>
      <c r="D80" s="6" t="s">
        <v>97</v>
      </c>
      <c r="E80" s="6" t="s">
        <v>119</v>
      </c>
      <c r="F80" s="6" t="s">
        <v>204</v>
      </c>
      <c r="G80" s="9"/>
      <c r="H80" s="6" t="s">
        <v>205</v>
      </c>
      <c r="I80" s="8">
        <v>0.13</v>
      </c>
      <c r="J80" s="13">
        <f t="shared" si="1"/>
        <v>0.39</v>
      </c>
    </row>
    <row r="81" spans="1:11">
      <c r="A81" s="5">
        <v>1</v>
      </c>
      <c r="B81" s="6" t="s">
        <v>45</v>
      </c>
      <c r="C81" s="6" t="s">
        <v>26</v>
      </c>
      <c r="D81" s="6" t="s">
        <v>44</v>
      </c>
      <c r="E81" s="6" t="s">
        <v>206</v>
      </c>
      <c r="F81" s="6" t="s">
        <v>207</v>
      </c>
      <c r="G81" s="9"/>
      <c r="H81" s="6" t="s">
        <v>208</v>
      </c>
      <c r="I81" s="8">
        <v>0.32</v>
      </c>
      <c r="J81" s="13">
        <f t="shared" si="1"/>
        <v>0.32</v>
      </c>
    </row>
    <row r="82" spans="1:11">
      <c r="A82" s="5"/>
      <c r="B82" s="6"/>
      <c r="C82" s="6"/>
      <c r="D82" s="6"/>
      <c r="E82" s="6"/>
      <c r="F82" s="6"/>
      <c r="G82" s="9"/>
      <c r="H82" s="6"/>
      <c r="I82" s="8"/>
      <c r="J82" s="13"/>
    </row>
    <row r="83" spans="1:11" ht="18">
      <c r="A83" s="14" t="s">
        <v>250</v>
      </c>
      <c r="B83" s="6"/>
      <c r="C83" s="6"/>
      <c r="D83" s="6"/>
      <c r="E83" s="6"/>
      <c r="F83" s="6"/>
      <c r="G83" s="9"/>
      <c r="H83" s="6"/>
      <c r="I83" s="8"/>
      <c r="J83" s="13"/>
    </row>
    <row r="84" spans="1:11" ht="15">
      <c r="A84" s="19" t="s">
        <v>1</v>
      </c>
      <c r="B84" s="19" t="s">
        <v>27</v>
      </c>
      <c r="C84" s="19" t="s">
        <v>0</v>
      </c>
      <c r="D84" s="19" t="s">
        <v>32</v>
      </c>
      <c r="E84" s="19" t="s">
        <v>29</v>
      </c>
      <c r="F84" s="19" t="s">
        <v>28</v>
      </c>
      <c r="G84" s="20" t="s">
        <v>249</v>
      </c>
      <c r="H84" s="19" t="s">
        <v>30</v>
      </c>
      <c r="I84" s="21" t="s">
        <v>129</v>
      </c>
      <c r="J84" s="19" t="s">
        <v>113</v>
      </c>
      <c r="K84" s="19" t="s">
        <v>106</v>
      </c>
    </row>
    <row r="85" spans="1:11">
      <c r="A85" s="4">
        <v>63</v>
      </c>
      <c r="B85" s="6" t="s">
        <v>114</v>
      </c>
      <c r="D85" s="4" t="s">
        <v>46</v>
      </c>
      <c r="E85" s="4" t="s">
        <v>119</v>
      </c>
      <c r="F85" s="4" t="s">
        <v>118</v>
      </c>
      <c r="H85" s="4" t="s">
        <v>120</v>
      </c>
      <c r="I85" s="12">
        <v>0.22</v>
      </c>
      <c r="J85" s="13">
        <f t="shared" si="1"/>
        <v>13.86</v>
      </c>
      <c r="K85" s="4" t="s">
        <v>115</v>
      </c>
    </row>
    <row r="86" spans="1:11">
      <c r="A86" s="4">
        <v>37</v>
      </c>
      <c r="B86" s="6" t="s">
        <v>114</v>
      </c>
      <c r="D86" s="4" t="s">
        <v>47</v>
      </c>
      <c r="E86" s="4" t="s">
        <v>119</v>
      </c>
      <c r="F86" s="4" t="s">
        <v>161</v>
      </c>
      <c r="H86" s="4" t="s">
        <v>162</v>
      </c>
      <c r="I86" s="12">
        <v>0.17100000000000001</v>
      </c>
      <c r="J86" s="13">
        <f t="shared" si="1"/>
        <v>6.3270000000000008</v>
      </c>
      <c r="K86" s="4" t="s">
        <v>115</v>
      </c>
    </row>
    <row r="87" spans="1:11">
      <c r="A87" s="4">
        <v>2</v>
      </c>
      <c r="B87" s="6" t="s">
        <v>114</v>
      </c>
      <c r="D87" s="4" t="s">
        <v>48</v>
      </c>
      <c r="E87" s="6" t="s">
        <v>119</v>
      </c>
      <c r="F87" s="6" t="s">
        <v>211</v>
      </c>
      <c r="G87" s="9"/>
      <c r="H87" s="6" t="s">
        <v>212</v>
      </c>
      <c r="I87" s="12">
        <v>0.49</v>
      </c>
      <c r="J87" s="13">
        <f t="shared" si="1"/>
        <v>0.98</v>
      </c>
      <c r="K87" s="4" t="s">
        <v>116</v>
      </c>
    </row>
    <row r="88" spans="1:11">
      <c r="A88" s="4">
        <v>2</v>
      </c>
      <c r="B88" s="6" t="s">
        <v>114</v>
      </c>
      <c r="D88" s="4" t="s">
        <v>51</v>
      </c>
      <c r="E88" s="4" t="s">
        <v>119</v>
      </c>
      <c r="F88" s="4" t="s">
        <v>163</v>
      </c>
      <c r="H88" s="4" t="s">
        <v>164</v>
      </c>
      <c r="I88" s="12">
        <v>0.17199999999999999</v>
      </c>
      <c r="J88" s="13">
        <f t="shared" si="1"/>
        <v>0.34399999999999997</v>
      </c>
      <c r="K88" s="4" t="s">
        <v>115</v>
      </c>
    </row>
    <row r="89" spans="1:11">
      <c r="A89" s="15"/>
      <c r="B89" s="15"/>
      <c r="C89" s="15"/>
      <c r="D89" s="15"/>
      <c r="E89" s="15"/>
      <c r="F89" s="15"/>
      <c r="G89" s="16"/>
      <c r="H89" s="15"/>
      <c r="I89" s="17"/>
      <c r="J89" s="18">
        <f>SUM(J85:J88)</f>
        <v>21.511000000000003</v>
      </c>
      <c r="K89" s="15"/>
    </row>
    <row r="91" spans="1:11" ht="18">
      <c r="A91" s="14" t="s">
        <v>251</v>
      </c>
      <c r="B91" s="6"/>
      <c r="C91" s="6"/>
      <c r="D91" s="6"/>
      <c r="E91" s="6"/>
      <c r="F91" s="6"/>
      <c r="G91" s="9"/>
      <c r="H91" s="6"/>
      <c r="I91" s="8"/>
      <c r="J91" s="13"/>
    </row>
    <row r="92" spans="1:11" ht="15">
      <c r="A92" s="19" t="s">
        <v>1</v>
      </c>
      <c r="B92" s="19" t="s">
        <v>27</v>
      </c>
      <c r="C92" s="19" t="s">
        <v>0</v>
      </c>
      <c r="D92" s="19" t="s">
        <v>32</v>
      </c>
      <c r="E92" s="19" t="s">
        <v>29</v>
      </c>
      <c r="F92" s="19" t="s">
        <v>28</v>
      </c>
      <c r="G92" s="20" t="s">
        <v>249</v>
      </c>
      <c r="H92" s="19" t="s">
        <v>30</v>
      </c>
      <c r="I92" s="21" t="s">
        <v>129</v>
      </c>
      <c r="J92" s="19" t="s">
        <v>113</v>
      </c>
      <c r="K92" s="19" t="s">
        <v>106</v>
      </c>
    </row>
    <row r="93" spans="1:11" ht="57">
      <c r="A93" s="5">
        <v>1</v>
      </c>
      <c r="B93" s="6" t="s">
        <v>43</v>
      </c>
      <c r="C93" s="6" t="s">
        <v>8</v>
      </c>
      <c r="D93" s="6" t="s">
        <v>41</v>
      </c>
      <c r="E93" s="6" t="s">
        <v>136</v>
      </c>
      <c r="F93" s="6" t="s">
        <v>137</v>
      </c>
      <c r="G93" s="9" t="s">
        <v>235</v>
      </c>
      <c r="H93" s="6" t="s">
        <v>138</v>
      </c>
      <c r="I93" s="8">
        <v>3.3</v>
      </c>
      <c r="J93" s="13">
        <f>A93*I93</f>
        <v>3.3</v>
      </c>
      <c r="K93" s="4" t="s">
        <v>109</v>
      </c>
    </row>
    <row r="94" spans="1:11">
      <c r="A94" s="5">
        <v>2</v>
      </c>
      <c r="B94" s="6" t="s">
        <v>61</v>
      </c>
      <c r="C94" s="6" t="s">
        <v>15</v>
      </c>
      <c r="D94" s="6" t="s">
        <v>52</v>
      </c>
      <c r="E94" s="6" t="s">
        <v>121</v>
      </c>
      <c r="F94" s="6" t="s">
        <v>15</v>
      </c>
      <c r="G94" s="9"/>
      <c r="H94" s="6" t="s">
        <v>122</v>
      </c>
      <c r="I94" s="10">
        <v>0.35</v>
      </c>
      <c r="J94" s="13">
        <f>A94*I94</f>
        <v>0.7</v>
      </c>
      <c r="K94" s="4" t="s">
        <v>109</v>
      </c>
    </row>
    <row r="95" spans="1:11">
      <c r="A95" s="5">
        <v>2</v>
      </c>
      <c r="B95" s="6" t="s">
        <v>104</v>
      </c>
      <c r="C95" s="6" t="s">
        <v>21</v>
      </c>
      <c r="D95" s="6" t="s">
        <v>100</v>
      </c>
      <c r="E95" s="6" t="s">
        <v>197</v>
      </c>
      <c r="F95" s="6" t="s">
        <v>198</v>
      </c>
      <c r="G95" s="9"/>
      <c r="H95" s="6" t="s">
        <v>199</v>
      </c>
      <c r="I95" s="8">
        <v>1.31</v>
      </c>
      <c r="J95" s="13">
        <f>A95*I95</f>
        <v>2.62</v>
      </c>
      <c r="K95" s="4" t="s">
        <v>112</v>
      </c>
    </row>
  </sheetData>
  <sortState xmlns:xlrd2="http://schemas.microsoft.com/office/spreadsheetml/2017/richdata2" ref="A2:L129">
    <sortCondition ref="B2:B129"/>
    <sortCondition ref="C2:C129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Bishop</dc:creator>
  <cp:lastModifiedBy>Paul Bishop</cp:lastModifiedBy>
  <dcterms:created xsi:type="dcterms:W3CDTF">2025-12-17T17:58:42Z</dcterms:created>
  <dcterms:modified xsi:type="dcterms:W3CDTF">2025-12-20T23:56:39Z</dcterms:modified>
</cp:coreProperties>
</file>